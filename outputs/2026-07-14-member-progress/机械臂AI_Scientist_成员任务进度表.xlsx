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200e137cf444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4dca66d9190e4cfe"/>
    <x:sheet xmlns:r="http://schemas.openxmlformats.org/officeDocument/2006/relationships" name="队长-上层智能体" sheetId="2" r:id="Rf1a03b34120142a0"/>
    <x:sheet xmlns:r="http://schemas.openxmlformats.org/officeDocument/2006/relationships" name="研究生A-设备接口" sheetId="3" r:id="Rbed5ca50a5e9463c"/>
    <x:sheet xmlns:r="http://schemas.openxmlformats.org/officeDocument/2006/relationships" name="研究生B-运动安全" sheetId="4" r:id="R429ce611327043fd"/>
    <x:sheet xmlns:r="http://schemas.openxmlformats.org/officeDocument/2006/relationships" name="研究生C-视觉感知" sheetId="5" r:id="Rbba710f71bcf4c36"/>
    <x:sheet xmlns:r="http://schemas.openxmlformats.org/officeDocument/2006/relationships" name="研究生D-标定测量" sheetId="6" r:id="R8c92783565334594"/>
    <x:sheet xmlns:r="http://schemas.openxmlformats.org/officeDocument/2006/relationships" name="研究生E-实验可靠性" sheetId="7" r:id="R0eb7716676ef48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9">
    <x:font>
      <x:sz val="11"/>
      <x:name val="Carlito"/>
    </x:font>
    <x:font>
      <x:b/>
      <x:sz val="17"/>
      <x:color rgb="FFFFFFFF"/>
      <x:name val="Carlito"/>
    </x:font>
    <x:font>
      <x:i/>
      <x:sz val="11"/>
      <x:color rgb="FF5B6874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1"/>
      <x:color rgb="FF1F2937"/>
      <x:name val="Carlito"/>
    </x:font>
    <x:font>
      <x:i/>
      <x:sz val="11"/>
      <x:color rgb="FF0F766E"/>
      <x:name val="Carlito"/>
    </x:font>
    <x:font>
      <x:b/>
      <x:sz val="16"/>
      <x:color rgb="FFFFFFFF"/>
      <x:name val="Carlito"/>
    </x:font>
    <x:font>
      <x:sz val="10"/>
      <x:color rgb="FF1F293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F3D5E"/>
      </x:patternFill>
    </x:fill>
    <x:fill>
      <x:patternFill patternType="solid">
        <x:fgColor rgb="FFEAF3F8"/>
      </x:patternFill>
    </x:fill>
    <x:fill>
      <x:patternFill patternType="solid">
        <x:fgColor rgb="FF1E6A9E"/>
      </x:patternFill>
    </x:fill>
    <x:fill>
      <x:patternFill patternType="solid">
        <x:fgColor rgb="FFF4F6F8"/>
      </x:patternFill>
    </x:fill>
    <x:fill>
      <x:patternFill patternType="solid">
        <x:fgColor rgb="FFE8F1FB"/>
      </x:patternFill>
    </x:fill>
    <x:fill>
      <x:patternFill patternType="solid">
        <x:fgColor rgb="FFFFF4CC"/>
      </x:patternFill>
    </x:fill>
    <x:fill>
      <x:patternFill patternType="solid">
        <x:fgColor rgb="FFE5F4EA"/>
      </x:patternFill>
    </x:fill>
    <x:fill>
      <x:patternFill patternType="solid">
        <x:fgColor rgb="FFFDE8E7"/>
      </x:patternFill>
    </x:fill>
    <x:fill>
      <x:patternFill patternType="solid">
        <x:fgColor rgb="FFE6F4F1"/>
      </x:patternFill>
    </x:fill>
  </x:fills>
  <x:borders count="5">
    <x:border/>
    <x:border>
      <x:left style="thin">
        <x:color rgb="FFC9D5DF"/>
      </x:left>
      <x:right style="thin">
        <x:color rgb="FFC9D5DF"/>
      </x:right>
      <x:top style="thin">
        <x:color rgb="FFC9D5DF"/>
      </x:top>
      <x:bottom style="thin">
        <x:color rgb="FFC9D5DF"/>
      </x:bottom>
    </x:border>
    <x:border>
      <x:left style="thin">
        <x:color rgb="FF8EC7BF"/>
      </x:left>
      <x:top style="thin">
        <x:color rgb="FF8EC7BF"/>
      </x:top>
      <x:bottom style="thin">
        <x:color rgb="FF8EC7BF"/>
      </x:bottom>
    </x:border>
    <x:border>
      <x:top style="thin">
        <x:color rgb="FF8EC7BF"/>
      </x:top>
      <x:bottom style="thin">
        <x:color rgb="FF8EC7BF"/>
      </x:bottom>
    </x:border>
    <x:border>
      <x:right style="thin">
        <x:color rgb="FF8EC7BF"/>
      </x:right>
      <x:top style="thin">
        <x:color rgb="FF8EC7BF"/>
      </x:top>
      <x:bottom style="thin">
        <x:color rgb="FF8EC7BF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5" fillId="7" borderId="1" xfId="0" applyNumberFormat="1" applyFont="1" applyFill="1" applyBorder="1" applyAlignment="1">
      <x:alignment vertical="center" wrapText="1"/>
    </x:xf>
    <x:xf numFmtId="0" fontId="5" fillId="8" borderId="1" xfId="0" applyNumberFormat="1" applyFont="1" applyFill="1" applyBorder="1" applyAlignment="1">
      <x:alignment vertical="center" wrapText="1"/>
    </x:xf>
    <x:xf numFmtId="0" fontId="5" fillId="9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200" fontId="4" fillId="0" borderId="1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wrapText="1"/>
    </x:xf>
    <x:xf numFmtId="0" fontId="6" fillId="10" borderId="0" xfId="0" applyNumberFormat="1" applyFont="1" applyFill="1" applyBorder="1" applyAlignment="1">
      <x:alignment vertical="center" wrapText="1"/>
    </x:xf>
    <x:xf numFmtId="0" fontId="6" fillId="10" borderId="2" xfId="0" applyNumberFormat="1" applyFont="1" applyFill="1" applyBorder="1" applyAlignment="1">
      <x:alignment vertical="center" wrapText="1"/>
    </x:xf>
    <x:xf numFmtId="0" fontId="6" fillId="10" borderId="3" xfId="0" applyNumberFormat="1" applyFont="1" applyFill="1" applyBorder="1" applyAlignment="1">
      <x:alignment vertical="center" wrapText="1"/>
    </x:xf>
    <x:xf numFmtId="0" fontId="6" fillId="10" borderId="4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left"/>
    </x:xf>
    <x:xf numFmtId="0" fontId="7" fillId="2" borderId="0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horizontal="center" vertical="top" wrapText="1"/>
    </x:xf>
    <x:xf numFmtId="201" fontId="8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35">
    <x:dxf>
      <x:font>
        <x:color rgb="FF5B6874"/>
      </x:font>
      <x:fill>
        <x:patternFill>
          <x:bgColor rgb="FFF4F6F8"/>
        </x:patternFill>
      </x:fill>
    </x:dxf>
    <x:dxf>
      <x:font>
        <x:b/>
        <x:color rgb="FF1E6A9E"/>
      </x:font>
      <x:fill>
        <x:patternFill>
          <x:bgColor rgb="FFE8F1FB"/>
        </x:patternFill>
      </x:fill>
    </x:dxf>
    <x:dxf>
      <x:font>
        <x:b/>
        <x:color rgb="FF805B00"/>
      </x:font>
      <x:fill>
        <x:patternFill>
          <x:bgColor rgb="FFFFF4CC"/>
        </x:patternFill>
      </x:fill>
    </x:dxf>
    <x:dxf>
      <x:font>
        <x:b/>
        <x:color rgb="FF0F766E"/>
      </x:font>
      <x:fill>
        <x:patternFill>
          <x:bgColor rgb="FFE5F4EA"/>
        </x:patternFill>
      </x:fill>
    </x:dxf>
    <x:dxf>
      <x:font>
        <x:b/>
        <x:color rgb="FFA63831"/>
      </x:font>
      <x:fill>
        <x:patternFill>
          <x:bgColor rgb="FFFDE8E7"/>
        </x:patternFill>
      </x:fill>
    </x:dxf>
    <x:dxf>
      <x:font>
        <x:color rgb="FF5B6874"/>
      </x:font>
      <x:fill>
        <x:patternFill>
          <x:bgColor rgb="FFF4F6F8"/>
        </x:patternFill>
      </x:fill>
    </x:dxf>
    <x:dxf>
      <x:font>
        <x:b/>
        <x:color rgb="FF1E6A9E"/>
      </x:font>
      <x:fill>
        <x:patternFill>
          <x:bgColor rgb="FFE8F1FB"/>
        </x:patternFill>
      </x:fill>
    </x:dxf>
    <x:dxf>
      <x:font>
        <x:b/>
        <x:color rgb="FF805B00"/>
      </x:font>
      <x:fill>
        <x:patternFill>
          <x:bgColor rgb="FFFFF4CC"/>
        </x:patternFill>
      </x:fill>
    </x:dxf>
    <x:dxf>
      <x:font>
        <x:b/>
        <x:color rgb="FF0F766E"/>
      </x:font>
      <x:fill>
        <x:patternFill>
          <x:bgColor rgb="FFE5F4EA"/>
        </x:patternFill>
      </x:fill>
    </x:dxf>
    <x:dxf>
      <x:font>
        <x:b/>
        <x:color rgb="FFA63831"/>
      </x:font>
      <x:fill>
        <x:patternFill>
          <x:bgColor rgb="FFFDE8E7"/>
        </x:patternFill>
      </x:fill>
    </x:dxf>
    <x:dxf>
      <x:font>
        <x:color rgb="FF5B6874"/>
      </x:font>
      <x:fill>
        <x:patternFill>
          <x:bgColor rgb="FFF4F6F8"/>
        </x:patternFill>
      </x:fill>
    </x:dxf>
    <x:dxf>
      <x:font>
        <x:b/>
        <x:color rgb="FF1E6A9E"/>
      </x:font>
      <x:fill>
        <x:patternFill>
          <x:bgColor rgb="FFE8F1FB"/>
        </x:patternFill>
      </x:fill>
    </x:dxf>
    <x:dxf>
      <x:font>
        <x:b/>
        <x:color rgb="FF805B00"/>
      </x:font>
      <x:fill>
        <x:patternFill>
          <x:bgColor rgb="FFFFF4CC"/>
        </x:patternFill>
      </x:fill>
    </x:dxf>
    <x:dxf>
      <x:font>
        <x:b/>
        <x:color rgb="FF0F766E"/>
      </x:font>
      <x:fill>
        <x:patternFill>
          <x:bgColor rgb="FFE5F4EA"/>
        </x:patternFill>
      </x:fill>
    </x:dxf>
    <x:dxf>
      <x:font>
        <x:b/>
        <x:color rgb="FFA63831"/>
      </x:font>
      <x:fill>
        <x:patternFill>
          <x:bgColor rgb="FFFDE8E7"/>
        </x:patternFill>
      </x:fill>
    </x:dxf>
    <x:dxf>
      <x:font>
        <x:color rgb="FF5B6874"/>
      </x:font>
      <x:fill>
        <x:patternFill>
          <x:bgColor rgb="FFF4F6F8"/>
        </x:patternFill>
      </x:fill>
    </x:dxf>
    <x:dxf>
      <x:font>
        <x:b/>
        <x:color rgb="FF1E6A9E"/>
      </x:font>
      <x:fill>
        <x:patternFill>
          <x:bgColor rgb="FFE8F1FB"/>
        </x:patternFill>
      </x:fill>
    </x:dxf>
    <x:dxf>
      <x:font>
        <x:b/>
        <x:color rgb="FF805B00"/>
      </x:font>
      <x:fill>
        <x:patternFill>
          <x:bgColor rgb="FFFFF4CC"/>
        </x:patternFill>
      </x:fill>
    </x:dxf>
    <x:dxf>
      <x:font>
        <x:b/>
        <x:color rgb="FF0F766E"/>
      </x:font>
      <x:fill>
        <x:patternFill>
          <x:bgColor rgb="FFE5F4EA"/>
        </x:patternFill>
      </x:fill>
    </x:dxf>
    <x:dxf>
      <x:font>
        <x:b/>
        <x:color rgb="FFA63831"/>
      </x:font>
      <x:fill>
        <x:patternFill>
          <x:bgColor rgb="FFFDE8E7"/>
        </x:patternFill>
      </x:fill>
    </x:dxf>
    <x:dxf>
      <x:font>
        <x:color rgb="FF5B6874"/>
      </x:font>
      <x:fill>
        <x:patternFill>
          <x:bgColor rgb="FFF4F6F8"/>
        </x:patternFill>
      </x:fill>
    </x:dxf>
    <x:dxf>
      <x:font>
        <x:b/>
        <x:color rgb="FF1E6A9E"/>
      </x:font>
      <x:fill>
        <x:patternFill>
          <x:bgColor rgb="FFE8F1FB"/>
        </x:patternFill>
      </x:fill>
    </x:dxf>
    <x:dxf>
      <x:font>
        <x:b/>
        <x:color rgb="FF805B00"/>
      </x:font>
      <x:fill>
        <x:patternFill>
          <x:bgColor rgb="FFFFF4CC"/>
        </x:patternFill>
      </x:fill>
    </x:dxf>
    <x:dxf>
      <x:font>
        <x:b/>
        <x:color rgb="FF0F766E"/>
      </x:font>
      <x:fill>
        <x:patternFill>
          <x:bgColor rgb="FFE5F4EA"/>
        </x:patternFill>
      </x:fill>
    </x:dxf>
    <x:dxf>
      <x:font>
        <x:b/>
        <x:color rgb="FFA63831"/>
      </x:font>
      <x:fill>
        <x:patternFill>
          <x:bgColor rgb="FFFDE8E7"/>
        </x:patternFill>
      </x:fill>
    </x:dxf>
    <x:dxf>
      <x:font>
        <x:color rgb="FF5B6874"/>
      </x:font>
      <x:fill>
        <x:patternFill>
          <x:bgColor rgb="FFF4F6F8"/>
        </x:patternFill>
      </x:fill>
    </x:dxf>
    <x:dxf>
      <x:font>
        <x:b/>
        <x:color rgb="FF1E6A9E"/>
      </x:font>
      <x:fill>
        <x:patternFill>
          <x:bgColor rgb="FFE8F1FB"/>
        </x:patternFill>
      </x:fill>
    </x:dxf>
    <x:dxf>
      <x:font>
        <x:b/>
        <x:color rgb="FF805B00"/>
      </x:font>
      <x:fill>
        <x:patternFill>
          <x:bgColor rgb="FFFFF4CC"/>
        </x:patternFill>
      </x:fill>
    </x:dxf>
    <x:dxf>
      <x:font>
        <x:b/>
        <x:color rgb="FF0F766E"/>
      </x:font>
      <x:fill>
        <x:patternFill>
          <x:bgColor rgb="FFE5F4EA"/>
        </x:patternFill>
      </x:fill>
    </x:dxf>
    <x:dxf>
      <x:font>
        <x:b/>
        <x:color rgb="FFA63831"/>
      </x:font>
      <x:fill>
        <x:patternFill>
          <x:bgColor rgb="FFFDE8E7"/>
        </x:patternFill>
      </x:fill>
    </x:dxf>
    <x:dxf>
      <x:font>
        <x:color rgb="FF5B6874"/>
      </x:font>
      <x:fill>
        <x:patternFill>
          <x:bgColor rgb="FFF4F6F8"/>
        </x:patternFill>
      </x:fill>
    </x:dxf>
    <x:dxf>
      <x:font>
        <x:b/>
        <x:color rgb="FF1E6A9E"/>
      </x:font>
      <x:fill>
        <x:patternFill>
          <x:bgColor rgb="FFE8F1FB"/>
        </x:patternFill>
      </x:fill>
    </x:dxf>
    <x:dxf>
      <x:font>
        <x:b/>
        <x:color rgb="FF805B00"/>
      </x:font>
      <x:fill>
        <x:patternFill>
          <x:bgColor rgb="FFFFF4CC"/>
        </x:patternFill>
      </x:fill>
    </x:dxf>
    <x:dxf>
      <x:font>
        <x:b/>
        <x:color rgb="FF0F766E"/>
      </x:font>
      <x:fill>
        <x:patternFill>
          <x:bgColor rgb="FFE5F4EA"/>
        </x:patternFill>
      </x:fill>
    </x:dxf>
    <x:dxf>
      <x:font>
        <x:b/>
        <x:color rgb="FFA63831"/>
      </x:font>
      <x:fill>
        <x:patternFill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9b657f8f874162" /><Relationship Type="http://schemas.openxmlformats.org/officeDocument/2006/relationships/theme" Target="/xl/theme/theme1.xml" Id="R368c53c1cbac4b60" /><Relationship Type="http://schemas.openxmlformats.org/officeDocument/2006/relationships/sharedStrings" Target="/xl/sharedStrings.xml" Id="Refd39f732f044f46" /><Relationship Type="http://schemas.openxmlformats.org/officeDocument/2006/relationships/worksheet" Target="/xl/worksheets/sheet1.xml" Id="R4dca66d9190e4cfe" /><Relationship Type="http://schemas.openxmlformats.org/officeDocument/2006/relationships/worksheet" Target="/xl/worksheets/sheet2.xml" Id="Rf1a03b34120142a0" /><Relationship Type="http://schemas.openxmlformats.org/officeDocument/2006/relationships/worksheet" Target="/xl/worksheets/sheet3.xml" Id="Rbed5ca50a5e9463c" /><Relationship Type="http://schemas.openxmlformats.org/officeDocument/2006/relationships/worksheet" Target="/xl/worksheets/sheet4.xml" Id="R429ce611327043fd" /><Relationship Type="http://schemas.openxmlformats.org/officeDocument/2006/relationships/worksheet" Target="/xl/worksheets/sheet5.xml" Id="Rbba710f71bcf4c36" /><Relationship Type="http://schemas.openxmlformats.org/officeDocument/2006/relationships/worksheet" Target="/xl/worksheets/sheet6.xml" Id="R8c92783565334594" /><Relationship Type="http://schemas.openxmlformats.org/officeDocument/2006/relationships/worksheet" Target="/xl/worksheets/sheet7.xml" Id="R0eb7716676ef48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4" hidden="0" customWidth="1"/>
    <x:col min="4" max="4" width="3" hidden="0" customWidth="1"/>
    <x:col min="5" max="5" width="22" hidden="0" customWidth="1"/>
    <x:col min="6" max="6" width="28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5" hidden="0" customWidth="1"/>
    <x:col min="15" max="15" width="10" hidden="0" customWidth="1"/>
  </x:cols>
  <x:sheetData>
    <x:row r="1" ht="32" customHeight="1">
      <x:c r="A1" s="4" t="str">
        <x:v>机械臂 AI Scientist｜成员任务进度总览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8" customHeight="1">
      <x:c r="A2" s="8" t="str">
        <x:v>计划周期：2026-07-14 至 2026-08-31。最后更新：2026-07-15。请各成员在个人工作表更新状态、实际完成日及证据/阻塞；总览会自动汇总阶段状态与完成率。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</x:row>
    <x:row r="4" ht="30" customHeight="1">
      <x:c r="A4" s="15" t="str">
        <x:v>状态说明</x:v>
      </x:c>
      <x:c r="B4" s="15"/>
      <x:c r="C4" s="15"/>
      <x:c r="E4" s="26" t="str">
        <x:v>成员</x:v>
      </x:c>
      <x:c r="F4" s="26" t="str">
        <x:v>主责</x:v>
      </x:c>
      <x:c r="G4" s="26" t="str">
        <x:v>S0</x:v>
      </x:c>
      <x:c r="H4" s="26" t="str">
        <x:v>S1</x:v>
      </x:c>
      <x:c r="I4" s="26" t="str">
        <x:v>S2</x:v>
      </x:c>
      <x:c r="J4" s="26" t="str">
        <x:v>S3</x:v>
      </x:c>
      <x:c r="K4" s="26" t="str">
        <x:v>S4</x:v>
      </x:c>
      <x:c r="L4" s="26" t="str">
        <x:v>S5</x:v>
      </x:c>
      <x:c r="M4" s="26" t="str">
        <x:v>S6</x:v>
      </x:c>
      <x:c r="N4" s="26" t="str">
        <x:v>已完成 / 总任务</x:v>
      </x:c>
      <x:c r="O4" s="26" t="str">
        <x:v>完成率</x:v>
      </x:c>
    </x:row>
    <x:row r="5" ht="38" customHeight="1">
      <x:c r="A5" s="18" t="str">
        <x:v>未开始</x:v>
      </x:c>
      <x:c r="B5" s="16" t="str">
        <x:v>尚未开展或无可验收产出</x:v>
      </x:c>
      <x:c r="C5" s="16" t="str"/>
      <x:c r="E5" s="17" t="str">
        <x:v>队长-上层智能体</x:v>
      </x:c>
      <x:c r="F5" s="17" t="str">
        <x:v>上层智能体开发、系统集成与材料</x:v>
      </x:c>
      <x:c r="G5" s="27" t="str">
        <x:f>'队长-上层智能体'!F5</x:f>
        <x:v>未开始</x:v>
      </x:c>
      <x:c r="H5" s="27" t="str">
        <x:f>'队长-上层智能体'!F6</x:f>
        <x:v>未开始</x:v>
      </x:c>
      <x:c r="I5" s="27" t="str">
        <x:f>'队长-上层智能体'!F7</x:f>
        <x:v>未开始</x:v>
      </x:c>
      <x:c r="J5" s="27" t="str">
        <x:f>'队长-上层智能体'!F8</x:f>
        <x:v>未开始</x:v>
      </x:c>
      <x:c r="K5" s="27" t="str">
        <x:f>'队长-上层智能体'!F9</x:f>
        <x:v>未开始</x:v>
      </x:c>
      <x:c r="L5" s="27" t="str">
        <x:f>'队长-上层智能体'!F10</x:f>
        <x:v>未开始</x:v>
      </x:c>
      <x:c r="M5" s="27" t="str">
        <x:f>'队长-上层智能体'!F11</x:f>
        <x:v>未开始</x:v>
      </x:c>
      <x:c r="N5" s="27" t="str">
        <x:f>COUNTIF(G5:M5,"已完成")&amp;"/7"</x:f>
        <x:v>0/7</x:v>
      </x:c>
      <x:c r="O5" s="28" t="n">
        <x:f>COUNTIF(G5:M5,"已完成")/7</x:f>
        <x:v>0</x:v>
      </x:c>
    </x:row>
    <x:row r="6" ht="38" customHeight="1">
      <x:c r="A6" s="19" t="str">
        <x:v>进行中</x:v>
      </x:c>
      <x:c r="B6" s="16" t="str">
        <x:v>已开始，但还未满足本阶段交付标准</x:v>
      </x:c>
      <x:c r="C6" s="16" t="str"/>
      <x:c r="E6" s="17" t="str">
        <x:v>研究生A-设备接口/部署</x:v>
      </x:c>
      <x:c r="F6" s="17" t="str">
        <x:v>设备接口、ROS2、部署链路与运行环境</x:v>
      </x:c>
      <x:c r="G6" s="27" t="str">
        <x:f>'研究生A-设备接口'!F5</x:f>
        <x:v>未开始</x:v>
      </x:c>
      <x:c r="H6" s="27" t="str">
        <x:f>'研究生A-设备接口'!F6</x:f>
        <x:v>未开始</x:v>
      </x:c>
      <x:c r="I6" s="27" t="str">
        <x:f>'研究生A-设备接口'!F7</x:f>
        <x:v>未开始</x:v>
      </x:c>
      <x:c r="J6" s="27" t="str">
        <x:f>'研究生A-设备接口'!F8</x:f>
        <x:v>未开始</x:v>
      </x:c>
      <x:c r="K6" s="27" t="str">
        <x:f>'研究生A-设备接口'!F9</x:f>
        <x:v>未开始</x:v>
      </x:c>
      <x:c r="L6" s="27" t="str">
        <x:f>'研究生A-设备接口'!F10</x:f>
        <x:v>未开始</x:v>
      </x:c>
      <x:c r="M6" s="27" t="str">
        <x:f>'研究生A-设备接口'!F11</x:f>
        <x:v>未开始</x:v>
      </x:c>
      <x:c r="N6" s="27" t="str">
        <x:f>COUNTIF(G6:M6,"已完成")&amp;"/7"</x:f>
        <x:v>0/7</x:v>
      </x:c>
      <x:c r="O6" s="28" t="n">
        <x:f>COUNTIF(G6:M6,"已完成")/7</x:f>
        <x:v>0</x:v>
      </x:c>
    </x:row>
    <x:row r="7" ht="38" customHeight="1">
      <x:c r="A7" s="20" t="str">
        <x:v>待验收</x:v>
      </x:c>
      <x:c r="B7" s="16" t="str">
        <x:v>已提交，等待交接对象或队长验证</x:v>
      </x:c>
      <x:c r="C7" s="16" t="str"/>
      <x:c r="E7" s="17" t="str">
        <x:v>研究生B-运动安全</x:v>
      </x:c>
      <x:c r="F7" s="17" t="str">
        <x:v>运动控制、抓取流程与安全</x:v>
      </x:c>
      <x:c r="G7" s="27" t="str">
        <x:f>'研究生B-运动安全'!F5</x:f>
        <x:v>未开始</x:v>
      </x:c>
      <x:c r="H7" s="27" t="str">
        <x:f>'研究生B-运动安全'!F6</x:f>
        <x:v>未开始</x:v>
      </x:c>
      <x:c r="I7" s="27" t="str">
        <x:f>'研究生B-运动安全'!F7</x:f>
        <x:v>未开始</x:v>
      </x:c>
      <x:c r="J7" s="27" t="str">
        <x:f>'研究生B-运动安全'!F8</x:f>
        <x:v>未开始</x:v>
      </x:c>
      <x:c r="K7" s="27" t="str">
        <x:f>'研究生B-运动安全'!F9</x:f>
        <x:v>未开始</x:v>
      </x:c>
      <x:c r="L7" s="27" t="str">
        <x:f>'研究生B-运动安全'!F10</x:f>
        <x:v>未开始</x:v>
      </x:c>
      <x:c r="M7" s="27" t="str">
        <x:f>'研究生B-运动安全'!F11</x:f>
        <x:v>未开始</x:v>
      </x:c>
      <x:c r="N7" s="27" t="str">
        <x:f>COUNTIF(G7:M7,"已完成")&amp;"/7"</x:f>
        <x:v>0/7</x:v>
      </x:c>
      <x:c r="O7" s="28" t="n">
        <x:f>COUNTIF(G7:M7,"已完成")/7</x:f>
        <x:v>0</x:v>
      </x:c>
    </x:row>
    <x:row r="8" ht="38" customHeight="1">
      <x:c r="A8" s="21" t="str">
        <x:v>已完成</x:v>
      </x:c>
      <x:c r="B8" s="16" t="str">
        <x:v>交付物已验收并归档</x:v>
      </x:c>
      <x:c r="C8" s="16" t="str"/>
      <x:c r="E8" s="17" t="str">
        <x:v>研究生C-视觉感知</x:v>
      </x:c>
      <x:c r="F8" s="17" t="str">
        <x:v>视觉感知与结果判定</x:v>
      </x:c>
      <x:c r="G8" s="27" t="str">
        <x:f>'研究生C-视觉感知'!F5</x:f>
        <x:v>未开始</x:v>
      </x:c>
      <x:c r="H8" s="27" t="str">
        <x:f>'研究生C-视觉感知'!F6</x:f>
        <x:v>未开始</x:v>
      </x:c>
      <x:c r="I8" s="27" t="str">
        <x:f>'研究生C-视觉感知'!F7</x:f>
        <x:v>未开始</x:v>
      </x:c>
      <x:c r="J8" s="27" t="str">
        <x:f>'研究生C-视觉感知'!F8</x:f>
        <x:v>未开始</x:v>
      </x:c>
      <x:c r="K8" s="27" t="str">
        <x:f>'研究生C-视觉感知'!F9</x:f>
        <x:v>未开始</x:v>
      </x:c>
      <x:c r="L8" s="27" t="str">
        <x:f>'研究生C-视觉感知'!F10</x:f>
        <x:v>未开始</x:v>
      </x:c>
      <x:c r="M8" s="27" t="str">
        <x:f>'研究生C-视觉感知'!F11</x:f>
        <x:v>未开始</x:v>
      </x:c>
      <x:c r="N8" s="27" t="str">
        <x:f>COUNTIF(G8:M8,"已完成")&amp;"/7"</x:f>
        <x:v>0/7</x:v>
      </x:c>
      <x:c r="O8" s="28" t="n">
        <x:f>COUNTIF(G8:M8,"已完成")/7</x:f>
        <x:v>0</x:v>
      </x:c>
    </x:row>
    <x:row r="9" ht="38" customHeight="1">
      <x:c r="A9" s="22" t="str">
        <x:v>受阻</x:v>
      </x:c>
      <x:c r="B9" s="16" t="str">
        <x:v>须写明阻塞原因、责任人和预计解除日</x:v>
      </x:c>
      <x:c r="C9" s="16" t="str"/>
      <x:c r="E9" s="17" t="str">
        <x:v>研究生D-标定测量</x:v>
      </x:c>
      <x:c r="F9" s="17" t="str">
        <x:v>手眼标定、坐标转换与测量</x:v>
      </x:c>
      <x:c r="G9" s="27" t="str">
        <x:f>'研究生D-标定测量'!F5</x:f>
        <x:v>未开始</x:v>
      </x:c>
      <x:c r="H9" s="27" t="str">
        <x:f>'研究生D-标定测量'!F6</x:f>
        <x:v>未开始</x:v>
      </x:c>
      <x:c r="I9" s="27" t="str">
        <x:f>'研究生D-标定测量'!F7</x:f>
        <x:v>未开始</x:v>
      </x:c>
      <x:c r="J9" s="27" t="str">
        <x:f>'研究生D-标定测量'!F8</x:f>
        <x:v>未开始</x:v>
      </x:c>
      <x:c r="K9" s="27" t="str">
        <x:f>'研究生D-标定测量'!F9</x:f>
        <x:v>未开始</x:v>
      </x:c>
      <x:c r="L9" s="27" t="str">
        <x:f>'研究生D-标定测量'!F10</x:f>
        <x:v>未开始</x:v>
      </x:c>
      <x:c r="M9" s="27" t="str">
        <x:f>'研究生D-标定测量'!F11</x:f>
        <x:v>未开始</x:v>
      </x:c>
      <x:c r="N9" s="27" t="str">
        <x:f>COUNTIF(G9:M9,"已完成")&amp;"/7"</x:f>
        <x:v>0/7</x:v>
      </x:c>
      <x:c r="O9" s="28" t="n">
        <x:f>COUNTIF(G9:M9,"已完成")/7</x:f>
        <x:v>0</x:v>
      </x:c>
    </x:row>
    <x:row r="10" ht="38" customHeight="1">
      <x:c r="E10" s="17" t="str">
        <x:v>研究生E-实验可靠性</x:v>
      </x:c>
      <x:c r="F10" s="17" t="str">
        <x:v>实机实验、数据采集与可靠性</x:v>
      </x:c>
      <x:c r="G10" s="27" t="str">
        <x:f>'研究生E-实验可靠性'!F5</x:f>
        <x:v>未开始</x:v>
      </x:c>
      <x:c r="H10" s="27" t="str">
        <x:f>'研究生E-实验可靠性'!F6</x:f>
        <x:v>未开始</x:v>
      </x:c>
      <x:c r="I10" s="27" t="str">
        <x:f>'研究生E-实验可靠性'!F7</x:f>
        <x:v>未开始</x:v>
      </x:c>
      <x:c r="J10" s="27" t="str">
        <x:f>'研究生E-实验可靠性'!F8</x:f>
        <x:v>未开始</x:v>
      </x:c>
      <x:c r="K10" s="27" t="str">
        <x:f>'研究生E-实验可靠性'!F9</x:f>
        <x:v>未开始</x:v>
      </x:c>
      <x:c r="L10" s="27" t="str">
        <x:f>'研究生E-实验可靠性'!F10</x:f>
        <x:v>未开始</x:v>
      </x:c>
      <x:c r="M10" s="27" t="str">
        <x:f>'研究生E-实验可靠性'!F11</x:f>
        <x:v>未开始</x:v>
      </x:c>
      <x:c r="N10" s="27" t="str">
        <x:f>COUNTIF(G10:M10,"已完成")&amp;"/7"</x:f>
        <x:v>0/7</x:v>
      </x:c>
      <x:c r="O10" s="28" t="n">
        <x:f>COUNTIF(G10:M10,"已完成")/7</x:f>
        <x:v>0</x:v>
      </x:c>
    </x:row>
    <x:row r="12" ht="26" customHeight="1">
      <x:c r="E12" s="33" t="str">
        <x:v>每周个人更新要求：填写状态、实际完成日、证据路径；受阻项必须写明原因、需协助人和预计解除日。</x:v>
      </x:c>
      <x:c r="F12" s="34"/>
      <x:c r="G12" s="34"/>
      <x:c r="H12" s="34"/>
      <x:c r="I12" s="34"/>
      <x:c r="J12" s="34"/>
      <x:c r="K12" s="34"/>
      <x:c r="L12" s="34"/>
      <x:c r="M12" s="34"/>
      <x:c r="N12" s="34"/>
      <x:c r="O12" s="35"/>
    </x:row>
  </x:sheetData>
  <x:mergeCells>
    <x:mergeCell ref="A1:O1"/>
    <x:mergeCell ref="A2:O2"/>
    <x:mergeCell ref="A4:C4"/>
    <x:mergeCell ref="E12:O12"/>
  </x:mergeCells>
  <x:conditionalFormatting sqref="G5:M10">
    <x:cfRule type="containsText" dxfId="0" priority="1" operator="containsText" text="未开始"/>
    <x:cfRule type="containsText" dxfId="1" priority="2" operator="containsText" text="进行中"/>
    <x:cfRule type="containsText" dxfId="2" priority="3" operator="containsText" text="待验收"/>
    <x:cfRule type="containsText" dxfId="3" priority="4" operator="containsText" text="已完成"/>
    <x:cfRule type="containsText" dxfId="4" priority="5" operator="containsText" text="受阻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9" hidden="0" customWidth="1"/>
    <x:col min="3" max="3" width="34" hidden="0" customWidth="1"/>
    <x:col min="4" max="4" width="36" hidden="0" customWidth="1"/>
    <x:col min="5" max="5" width="25" hidden="0" customWidth="1"/>
    <x:col min="6" max="6" width="12" hidden="0" customWidth="1"/>
    <x:col min="7" max="7" width="14" hidden="0" customWidth="1"/>
    <x:col min="8" max="8" width="34" hidden="0" customWidth="1"/>
  </x:cols>
  <x:sheetData>
    <x:row r="1" ht="30" customHeight="1">
      <x:c r="A1" s="38" t="str">
        <x:v>队长-上层智能体｜阶段任务进度表</x:v>
      </x:c>
      <x:c r="B1" s="38"/>
      <x:c r="C1" s="38"/>
      <x:c r="D1" s="38"/>
      <x:c r="E1" s="38"/>
      <x:c r="F1" s="38"/>
      <x:c r="G1" s="38"/>
      <x:c r="H1" s="38"/>
    </x:row>
    <x:row r="2" ht="25" customHeight="1">
      <x:c r="A2" s="40" t="str">
        <x:v>主责：上层智能体开发、系统集成与材料。每周一更新状态、实际完成日与证据/阻塞；完成前需由交接对象验收。</x:v>
      </x:c>
      <x:c r="B2" s="40"/>
      <x:c r="C2" s="40"/>
      <x:c r="D2" s="40"/>
      <x:c r="E2" s="40"/>
      <x:c r="F2" s="40"/>
      <x:c r="G2" s="40"/>
      <x:c r="H2" s="40"/>
    </x:row>
    <x:row r="4" ht="32" customHeight="1">
      <x:c r="A4" s="26" t="str">
        <x:v>阶段</x:v>
      </x:c>
      <x:c r="B4" s="26" t="str">
        <x:v>计划日期</x:v>
      </x:c>
      <x:c r="C4" s="26" t="str">
        <x:v>本阶段任务</x:v>
      </x:c>
      <x:c r="D4" s="26" t="str">
        <x:v>必须交付</x:v>
      </x:c>
      <x:c r="E4" s="26" t="str">
        <x:v>交接/验收对象</x:v>
      </x:c>
      <x:c r="F4" s="26" t="str">
        <x:v>状态</x:v>
      </x:c>
      <x:c r="G4" s="26" t="str">
        <x:v>实际完成日</x:v>
      </x:c>
      <x:c r="H4" s="26" t="str">
        <x:v>证据路径 / 阻塞原因</x:v>
      </x:c>
    </x:row>
    <x:row r="5" ht="66" customHeight="1">
      <x:c r="A5" s="45" t="str">
        <x:v>S0</x:v>
      </x:c>
      <x:c r="B5" s="45" t="str">
        <x:v>2026-07-14 至 2026-07-19</x:v>
      </x:c>
      <x:c r="C5" s="44" t="str">
        <x:v>冻结 MVP、成功标准、指标、Schema、项目骨架和本地/实机部署方案</x:v>
      </x:c>
      <x:c r="D5" s="44" t="str">
        <x:v>ExperimentPlan / ExperimentResult / 错误码 / 适配器 Schema；Mock 服务骨架；本地电脑与树莓派的部署拓扑说明</x:v>
      </x:c>
      <x:c r="E5" s="44" t="str">
        <x:v>A-E 评审；G0 确认</x:v>
      </x:c>
      <x:c r="F5" s="45" t="str">
        <x:v>未开始</x:v>
      </x:c>
      <x:c r="G5" s="46"/>
      <x:c r="H5" s="44" t="str"/>
    </x:row>
    <x:row r="6" ht="66" customHeight="1">
      <x:c r="A6" s="45" t="str">
        <x:v>S1</x:v>
      </x:c>
      <x:c r="B6" s="45" t="str">
        <x:v>2026-07-20 至 2026-07-26</x:v>
      </x:c>
      <x:c r="C6" s="44" t="str">
        <x:v>开发任务解析、计划、安全校验、Mock、日志、失败归因、候选版本和最小监控页</x:v>
      </x:c>
      <x:c r="D6" s="44" t="str">
        <x:v>可运行 Mock 单次闭环与 4 类失败注入</x:v>
      </x:c>
      <x:c r="E6" s="44" t="str">
        <x:v>E 验证真实记录字段；G1 验收</x:v>
      </x:c>
      <x:c r="F6" s="45" t="str">
        <x:v>未开始</x:v>
      </x:c>
      <x:c r="G6" s="46"/>
      <x:c r="H6" s="44" t="str"/>
    </x:row>
    <x:row r="7" ht="66" customHeight="1">
      <x:c r="A7" s="45" t="str">
        <x:v>S2</x:v>
      </x:c>
      <x:c r="B7" s="45" t="str">
        <x:v>2026-07-27 至 2026-08-02</x:v>
      </x:c>
      <x:c r="C7" s="44" t="str">
        <x:v>开发批量执行、指标、报告、版本比较、晋升和回滚</x:v>
      </x:c>
      <x:c r="D7" s="44" t="str">
        <x:v>P0/P1 Mock 对比报告及回滚案例</x:v>
      </x:c>
      <x:c r="E7" s="44" t="str">
        <x:v>E 核验数据划分；G2 验收</x:v>
      </x:c>
      <x:c r="F7" s="45" t="str">
        <x:v>未开始</x:v>
      </x:c>
      <x:c r="G7" s="46"/>
      <x:c r="H7" s="44" t="str"/>
    </x:row>
    <x:row r="8" ht="66" customHeight="1">
      <x:c r="A8" s="45" t="str">
        <x:v>S3</x:v>
      </x:c>
      <x:c r="B8" s="45" t="str">
        <x:v>2026-08-03 至 2026-08-09</x:v>
      </x:c>
      <x:c r="C8" s="44" t="str">
        <x:v>接入实机执行器，把真实数据写入日志和看板</x:v>
      </x:c>
      <x:c r="D8" s="44" t="str">
        <x:v>一次真实端到端实验报告</x:v>
      </x:c>
      <x:c r="E8" s="44" t="str">
        <x:v>A-E 联调；G3 验收</x:v>
      </x:c>
      <x:c r="F8" s="45" t="str">
        <x:v>未开始</x:v>
      </x:c>
      <x:c r="G8" s="46"/>
      <x:c r="H8" s="44" t="str"/>
    </x:row>
    <x:row r="9" ht="66" customHeight="1">
      <x:c r="A9" s="45" t="str">
        <x:v>S4</x:v>
      </x:c>
      <x:c r="B9" s="45" t="str">
        <x:v>2026-08-10 至 2026-08-16</x:v>
      </x:c>
      <x:c r="C9" s="44" t="str">
        <x:v>选择优化变量、生成 P1、执行晋升或回滚</x:v>
      </x:c>
      <x:c r="D9" s="44" t="str">
        <x:v>P0/P1 Skill 记录、参数差异和决策报告</x:v>
      </x:c>
      <x:c r="E9" s="44" t="str">
        <x:v>D 提供误差依据；E 提供批量数据</x:v>
      </x:c>
      <x:c r="F9" s="45" t="str">
        <x:v>未开始</x:v>
      </x:c>
      <x:c r="G9" s="46"/>
      <x:c r="H9" s="44" t="str"/>
    </x:row>
    <x:row r="10" ht="66" customHeight="1">
      <x:c r="A10" s="45" t="str">
        <x:v>S5</x:v>
      </x:c>
      <x:c r="B10" s="45" t="str">
        <x:v>2026-08-17 至 2026-08-23</x:v>
      </x:c>
      <x:c r="C10" s="44" t="str">
        <x:v>完成演示流程、泛化和回滚展示、第一版报告图</x:v>
      </x:c>
      <x:c r="D10" s="44" t="str">
        <x:v>2-3 轮迭代演示脚本与可运行看板</x:v>
      </x:c>
      <x:c r="E10" s="44" t="str">
        <x:v>E 演练；G5 验收</x:v>
      </x:c>
      <x:c r="F10" s="45" t="str">
        <x:v>未开始</x:v>
      </x:c>
      <x:c r="G10" s="46"/>
      <x:c r="H10" s="44" t="str"/>
    </x:row>
    <x:row r="11" ht="66" customHeight="1">
      <x:c r="A11" s="45" t="str">
        <x:v>S6</x:v>
      </x:c>
      <x:c r="B11" s="45" t="str">
        <x:v>2026-08-24 至 2026-08-31</x:v>
      </x:c>
      <x:c r="C11" s="44" t="str">
        <x:v>冻结软件，完成报告、PPT、视频、复现说明和答辩</x:v>
      </x:c>
      <x:c r="D11" s="44" t="str">
        <x:v>发布版本、材料包、答辩口径和遗留风险</x:v>
      </x:c>
      <x:c r="E11" s="44" t="str">
        <x:v>全体最终彩排</x:v>
      </x:c>
      <x:c r="F11" s="45" t="str">
        <x:v>未开始</x:v>
      </x:c>
      <x:c r="G11" s="46"/>
      <x:c r="H11" s="44" t="str"/>
    </x:row>
  </x:sheetData>
  <x:mergeCells>
    <x:mergeCell ref="A1:H1"/>
    <x:mergeCell ref="A2:H2"/>
  </x:mergeCells>
  <x:conditionalFormatting sqref="F5:F11">
    <x:cfRule type="containsText" dxfId="5" priority="1" operator="containsText" text="未开始"/>
    <x:cfRule type="containsText" dxfId="6" priority="2" operator="containsText" text="进行中"/>
    <x:cfRule type="containsText" dxfId="7" priority="3" operator="containsText" text="待验收"/>
    <x:cfRule type="containsText" dxfId="8" priority="4" operator="containsText" text="已完成"/>
    <x:cfRule type="containsText" dxfId="9" priority="5" operator="containsText" text="受阻"/>
  </x:conditionalFormatting>
  <x:dataValidations count="1">
    <x:dataValidation type="list" sqref="F5:F11">
      <x:formula1>"未开始,进行中,待验收,已完成,受阻"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9" hidden="0" customWidth="1"/>
    <x:col min="3" max="3" width="34" hidden="0" customWidth="1"/>
    <x:col min="4" max="4" width="36" hidden="0" customWidth="1"/>
    <x:col min="5" max="5" width="25" hidden="0" customWidth="1"/>
    <x:col min="6" max="6" width="12" hidden="0" customWidth="1"/>
    <x:col min="7" max="7" width="14" hidden="0" customWidth="1"/>
    <x:col min="8" max="8" width="34" hidden="0" customWidth="1"/>
  </x:cols>
  <x:sheetData>
    <x:row r="1" ht="30" customHeight="1">
      <x:c r="A1" s="38" t="str">
        <x:v>研究生A-设备接口、ROS2 与部署链路｜阶段任务进度表</x:v>
      </x:c>
      <x:c r="B1" s="38"/>
      <x:c r="C1" s="38"/>
      <x:c r="D1" s="38"/>
      <x:c r="E1" s="38"/>
      <x:c r="F1" s="38"/>
      <x:c r="G1" s="38"/>
      <x:c r="H1" s="38"/>
    </x:row>
    <x:row r="2" ht="25" customHeight="1">
      <x:c r="A2" s="40" t="str">
        <x:v>主责：设备接口、ROS2、部署链路与运行环境。每周一更新状态、实际完成日与证据/阻塞；完成前需由交接对象验收。</x:v>
      </x:c>
      <x:c r="B2" s="40"/>
      <x:c r="C2" s="40"/>
      <x:c r="D2" s="40"/>
      <x:c r="E2" s="40"/>
      <x:c r="F2" s="40"/>
      <x:c r="G2" s="40"/>
      <x:c r="H2" s="40"/>
    </x:row>
    <x:row r="4" ht="32" customHeight="1">
      <x:c r="A4" s="26" t="str">
        <x:v>阶段</x:v>
      </x:c>
      <x:c r="B4" s="26" t="str">
        <x:v>计划日期</x:v>
      </x:c>
      <x:c r="C4" s="26" t="str">
        <x:v>本阶段任务</x:v>
      </x:c>
      <x:c r="D4" s="26" t="str">
        <x:v>必须交付</x:v>
      </x:c>
      <x:c r="E4" s="26" t="str">
        <x:v>交接/验收对象</x:v>
      </x:c>
      <x:c r="F4" s="26" t="str">
        <x:v>状态</x:v>
      </x:c>
      <x:c r="G4" s="26" t="str">
        <x:v>实际完成日</x:v>
      </x:c>
      <x:c r="H4" s="26" t="str">
        <x:v>证据路径 / 阻塞原因</x:v>
      </x:c>
    </x:row>
    <x:row r="5" ht="66" customHeight="1">
      <x:c r="A5" s="45" t="str">
        <x:v>S0</x:v>
      </x:c>
      <x:c r="B5" s="45" t="str">
        <x:v>2026-07-14 至 2026-07-19</x:v>
      </x:c>
      <x:c r="C5" s="44" t="str">
        <x:v>调查 ROS2、SDK、节点、服务、官方示例并跑通环境；确认 SSH/Git/Remote-SSH/scp 或 rsync 代码导入方式</x:v>
      </x:c>
      <x:c r="D5" s="44" t="str">
        <x:v>启动命令、依赖配置、ROS 接口清单、官方例程记录、树莓派 IP/账号/项目目录/同步命令/日志路径</x:v>
      </x:c>
      <x:c r="E5" s="44" t="str">
        <x:v>队长冻结适配器；能把最小脚本同步到机械臂并运行</x:v>
      </x:c>
      <x:c r="F5" s="45" t="str">
        <x:v>未开始</x:v>
      </x:c>
      <x:c r="G5" s="46"/>
      <x:c r="H5" s="44" t="str"/>
    </x:row>
    <x:row r="6" ht="66" customHeight="1">
      <x:c r="A6" s="45" t="str">
        <x:v>S1</x:v>
      </x:c>
      <x:c r="B6" s="45" t="str">
        <x:v>2026-07-20 至 2026-07-26</x:v>
      </x:c>
      <x:c r="C6" s="44" t="str">
        <x:v>封装回零、状态、移动、夹爪和停止接口；建立树莓派侧 robot_adapter 最小入口</x:v>
      </x:c>
      <x:c r="D6" s="44" t="str">
        <x:v>ArmAdapter 方法签名、结构化返回、错误码、调用示例、部署后启动/停止/查看日志命令</x:v>
      </x:c>
      <x:c r="E6" s="44" t="str">
        <x:v>队长契约测试；B 动作验证</x:v>
      </x:c>
      <x:c r="F6" s="45" t="str">
        <x:v>未开始</x:v>
      </x:c>
      <x:c r="G6" s="46"/>
      <x:c r="H6" s="44" t="str"/>
    </x:row>
    <x:row r="7" ht="66" customHeight="1">
      <x:c r="A7" s="45" t="str">
        <x:v>S2</x:v>
      </x:c>
      <x:c r="B7" s="45" t="str">
        <x:v>2026-07-27 至 2026-08-02</x:v>
      </x:c>
      <x:c r="C7" s="44" t="str">
        <x:v>对齐 Mock/实机接口，补齐超时、状态、配置切换和部署环境变量</x:v>
      </x:c>
      <x:c r="D7" s="44" t="str">
        <x:v>接口差异清单、配置切换方式、已知限制、实机部署目录结构</x:v>
      </x:c>
      <x:c r="E7" s="44" t="str">
        <x:v>队长接入编排层</x:v>
      </x:c>
      <x:c r="F7" s="45" t="str">
        <x:v>未开始</x:v>
      </x:c>
      <x:c r="G7" s="46"/>
      <x:c r="H7" s="44" t="str"/>
    </x:row>
    <x:row r="8" ht="66" customHeight="1">
      <x:c r="A8" s="45" t="str">
        <x:v>S3</x:v>
      </x:c>
      <x:c r="B8" s="45" t="str">
        <x:v>2026-08-03 至 2026-08-09</x:v>
      </x:c>
      <x:c r="C8" s="44" t="str">
        <x:v>完成真实适配器、启动/停止/恢复、部署自检与动作事件日志</x:v>
      </x:c>
      <x:c r="D8" s="44" t="str">
        <x:v>可调用实机适配器；动作时间、最终状态、错误码；网络/ROS2/硬件三类自检结果</x:v>
      </x:c>
      <x:c r="E8" s="44" t="str">
        <x:v>队长完成 G3</x:v>
      </x:c>
      <x:c r="F8" s="45" t="str">
        <x:v>未开始</x:v>
      </x:c>
      <x:c r="G8" s="46"/>
      <x:c r="H8" s="44" t="str"/>
    </x:row>
    <x:row r="9" ht="66" customHeight="1">
      <x:c r="A9" s="45" t="str">
        <x:v>S4</x:v>
      </x:c>
      <x:c r="B9" s="45" t="str">
        <x:v>2026-08-10 至 2026-08-16</x:v>
      </x:c>
      <x:c r="C9" s="44" t="str">
        <x:v>支撑连续运行，定位接口故障并提供恢复结论</x:v>
      </x:c>
      <x:c r="D9" s="44" t="str">
        <x:v>接口日志、错误码说明、最小复现、恢复记录</x:v>
      </x:c>
      <x:c r="E9" s="44" t="str">
        <x:v>队长区分接口与策略失败</x:v>
      </x:c>
      <x:c r="F9" s="45" t="str">
        <x:v>未开始</x:v>
      </x:c>
      <x:c r="G9" s="46"/>
      <x:c r="H9" s="44" t="str"/>
    </x:row>
    <x:row r="10" ht="66" customHeight="1">
      <x:c r="A10" s="45" t="str">
        <x:v>S5</x:v>
      </x:c>
      <x:c r="B10" s="45" t="str">
        <x:v>2026-08-17 至 2026-08-23</x:v>
      </x:c>
      <x:c r="C10" s="44" t="str">
        <x:v>固化现场启动、停止、部署自检和故障处理</x:v>
      </x:c>
      <x:c r="D10" s="44" t="str">
        <x:v>一键启动/停止说明、故障排查表、部署自检步骤</x:v>
      </x:c>
      <x:c r="E10" s="44" t="str">
        <x:v>E 和队长演练</x:v>
      </x:c>
      <x:c r="F10" s="45" t="str">
        <x:v>未开始</x:v>
      </x:c>
      <x:c r="G10" s="46"/>
      <x:c r="H10" s="44" t="str"/>
    </x:row>
    <x:row r="11" ht="66" customHeight="1">
      <x:c r="A11" s="45" t="str">
        <x:v>S6</x:v>
      </x:c>
      <x:c r="B11" s="45" t="str">
        <x:v>2026-08-24 至 2026-08-31</x:v>
      </x:c>
      <x:c r="C11" s="44" t="str">
        <x:v>冻结环境与设备配置，支撑最终彩排</x:v>
      </x:c>
      <x:c r="D11" s="44" t="str">
        <x:v>环境版本、设备配置、启动/恢复手册、部署复现说明</x:v>
      </x:c>
      <x:c r="E11" s="44" t="str">
        <x:v>非 A 成员可按文档完成准备、部署自检与安全停止</x:v>
      </x:c>
      <x:c r="F11" s="45" t="str">
        <x:v>未开始</x:v>
      </x:c>
      <x:c r="G11" s="46"/>
      <x:c r="H11" s="44" t="str"/>
    </x:row>
  </x:sheetData>
  <x:mergeCells>
    <x:mergeCell ref="A1:H1"/>
    <x:mergeCell ref="A2:H2"/>
  </x:mergeCells>
  <x:conditionalFormatting sqref="F5:F11">
    <x:cfRule type="containsText" dxfId="10" priority="1" operator="containsText" text="未开始"/>
    <x:cfRule type="containsText" dxfId="11" priority="2" operator="containsText" text="进行中"/>
    <x:cfRule type="containsText" dxfId="12" priority="3" operator="containsText" text="待验收"/>
    <x:cfRule type="containsText" dxfId="13" priority="4" operator="containsText" text="已完成"/>
    <x:cfRule type="containsText" dxfId="14" priority="5" operator="containsText" text="受阻"/>
  </x:conditionalFormatting>
  <x:dataValidations count="1">
    <x:dataValidation type="list" sqref="F5:F11">
      <x:formula1>"未开始,进行中,待验收,已完成,受阻"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9" hidden="0" customWidth="1"/>
    <x:col min="3" max="3" width="34" hidden="0" customWidth="1"/>
    <x:col min="4" max="4" width="36" hidden="0" customWidth="1"/>
    <x:col min="5" max="5" width="25" hidden="0" customWidth="1"/>
    <x:col min="6" max="6" width="12" hidden="0" customWidth="1"/>
    <x:col min="7" max="7" width="14" hidden="0" customWidth="1"/>
    <x:col min="8" max="8" width="34" hidden="0" customWidth="1"/>
  </x:cols>
  <x:sheetData>
    <x:row r="1" ht="30" customHeight="1">
      <x:c r="A1" s="38" t="str">
        <x:v>研究生B-运动安全｜阶段任务进度表</x:v>
      </x:c>
      <x:c r="B1" s="38"/>
      <x:c r="C1" s="38"/>
      <x:c r="D1" s="38"/>
      <x:c r="E1" s="38"/>
      <x:c r="F1" s="38"/>
      <x:c r="G1" s="38"/>
      <x:c r="H1" s="38"/>
    </x:row>
    <x:row r="2" ht="25" customHeight="1">
      <x:c r="A2" s="40" t="str">
        <x:v>主责：运动控制、抓取流程与安全。每周一更新状态、实际完成日与证据/阻塞；完成前需由交接对象验收。</x:v>
      </x:c>
      <x:c r="B2" s="40"/>
      <x:c r="C2" s="40"/>
      <x:c r="D2" s="40"/>
      <x:c r="E2" s="40"/>
      <x:c r="F2" s="40"/>
      <x:c r="G2" s="40"/>
      <x:c r="H2" s="40"/>
    </x:row>
    <x:row r="4" ht="32" customHeight="1">
      <x:c r="A4" s="26" t="str">
        <x:v>阶段</x:v>
      </x:c>
      <x:c r="B4" s="26" t="str">
        <x:v>计划日期</x:v>
      </x:c>
      <x:c r="C4" s="26" t="str">
        <x:v>本阶段任务</x:v>
      </x:c>
      <x:c r="D4" s="26" t="str">
        <x:v>必须交付</x:v>
      </x:c>
      <x:c r="E4" s="26" t="str">
        <x:v>交接/验收对象</x:v>
      </x:c>
      <x:c r="F4" s="26" t="str">
        <x:v>状态</x:v>
      </x:c>
      <x:c r="G4" s="26" t="str">
        <x:v>实际完成日</x:v>
      </x:c>
      <x:c r="H4" s="26" t="str">
        <x:v>证据路径 / 阻塞原因</x:v>
      </x:c>
    </x:row>
    <x:row r="5" ht="66" customHeight="1">
      <x:c r="A5" s="45" t="str">
        <x:v>S0</x:v>
      </x:c>
      <x:c r="B5" s="45" t="str">
        <x:v>2026-07-14 至 2026-07-19</x:v>
      </x:c>
      <x:c r="C5" s="44" t="str">
        <x:v>设计基础抓取流程，定义工作空间、速度、超时、急停和恢复</x:v>
      </x:c>
      <x:c r="D5" s="44" t="str">
        <x:v>动作流程图、安全参数表、20 次测试方案</x:v>
      </x:c>
      <x:c r="E5" s="44" t="str">
        <x:v>队长写安全校验；A 对接错误码</x:v>
      </x:c>
      <x:c r="F5" s="45" t="str">
        <x:v>未开始</x:v>
      </x:c>
      <x:c r="G5" s="46"/>
      <x:c r="H5" s="44" t="str"/>
    </x:row>
    <x:row r="6" ht="66" customHeight="1">
      <x:c r="A6" s="45" t="str">
        <x:v>S1</x:v>
      </x:c>
      <x:c r="B6" s="45" t="str">
        <x:v>2026-07-20 至 2026-07-26</x:v>
      </x:c>
      <x:c r="C6" s="44" t="str">
        <x:v>测试预抓取、下降、夹爪、提起、放置、回零并确定基线</x:v>
      </x:c>
      <x:c r="D6" s="44" t="str">
        <x:v>基线动作序列、初始参数、可调范围、边界检查结果</x:v>
      </x:c>
      <x:c r="E6" s="44" t="str">
        <x:v>队长生成 P0；A 回传状态</x:v>
      </x:c>
      <x:c r="F6" s="45" t="str">
        <x:v>未开始</x:v>
      </x:c>
      <x:c r="G6" s="46"/>
      <x:c r="H6" s="44" t="str"/>
    </x:row>
    <x:row r="7" ht="66" customHeight="1">
      <x:c r="A7" s="45" t="str">
        <x:v>S2</x:v>
      </x:c>
      <x:c r="B7" s="45" t="str">
        <x:v>2026-07-27 至 2026-08-02</x:v>
      </x:c>
      <x:c r="C7" s="44" t="str">
        <x:v>做基线重复性测试，划定允许优化和禁止变化的参数</x:v>
      </x:c>
      <x:c r="D7" s="44" t="str">
        <x:v>动作参数基线表、重复性数据、安全约束 v1</x:v>
      </x:c>
      <x:c r="E7" s="44" t="str">
        <x:v>队长选择优化空间</x:v>
      </x:c>
      <x:c r="F7" s="45" t="str">
        <x:v>未开始</x:v>
      </x:c>
      <x:c r="G7" s="46"/>
      <x:c r="H7" s="44" t="str"/>
    </x:row>
    <x:row r="8" ht="66" customHeight="1">
      <x:c r="A8" s="45" t="str">
        <x:v>S3</x:v>
      </x:c>
      <x:c r="B8" s="45" t="str">
        <x:v>2026-08-03 至 2026-08-09</x:v>
      </x:c>
      <x:c r="C8" s="44" t="str">
        <x:v>调通实机基线抓取、安全停止和异常恢复</x:v>
      </x:c>
      <x:c r="D8" s="44" t="str">
        <x:v>已验证 P0 动作参数、安全和恢复记录</x:v>
      </x:c>
      <x:c r="E8" s="44" t="str">
        <x:v>A 接口支撑；队长真实执行</x:v>
      </x:c>
      <x:c r="F8" s="45" t="str">
        <x:v>未开始</x:v>
      </x:c>
      <x:c r="G8" s="46"/>
      <x:c r="H8" s="44" t="str"/>
    </x:row>
    <x:row r="9" ht="66" customHeight="1">
      <x:c r="A9" s="45" t="str">
        <x:v>S4</x:v>
      </x:c>
      <x:c r="B9" s="45" t="str">
        <x:v>2026-08-10 至 2026-08-16</x:v>
      </x:c>
      <x:c r="C9" s="44" t="str">
        <x:v>审批 P0/P1 候选参数，监控运行中的安全事件</x:v>
      </x:c>
      <x:c r="D9" s="44" t="str">
        <x:v>参数确认表、安全审批和安全事件记录</x:v>
      </x:c>
      <x:c r="E9" s="44" t="str">
        <x:v>队长晋升规则和报告</x:v>
      </x:c>
      <x:c r="F9" s="45" t="str">
        <x:v>未开始</x:v>
      </x:c>
      <x:c r="G9" s="46"/>
      <x:c r="H9" s="44" t="str"/>
    </x:row>
    <x:row r="10" ht="66" customHeight="1">
      <x:c r="A10" s="45" t="str">
        <x:v>S5</x:v>
      </x:c>
      <x:c r="B10" s="45" t="str">
        <x:v>2026-08-17 至 2026-08-23</x:v>
      </x:c>
      <x:c r="C10" s="44" t="str">
        <x:v>连续运行 20 次，确定现场保守参数和人工接管规则</x:v>
      </x:c>
      <x:c r="D10" s="44" t="str">
        <x:v>稳定性数据、最终安全参数、人工接管规则</x:v>
      </x:c>
      <x:c r="E10" s="44" t="str">
        <x:v>E 演练；队长演示脚本</x:v>
      </x:c>
      <x:c r="F10" s="45" t="str">
        <x:v>未开始</x:v>
      </x:c>
      <x:c r="G10" s="46"/>
      <x:c r="H10" s="44" t="str"/>
    </x:row>
    <x:row r="11" ht="66" customHeight="1">
      <x:c r="A11" s="45" t="str">
        <x:v>S6</x:v>
      </x:c>
      <x:c r="B11" s="45" t="str">
        <x:v>2026-08-24 至 2026-08-31</x:v>
      </x:c>
      <x:c r="C11" s="44" t="str">
        <x:v>冻结动作参数、安全限制和急停流程</x:v>
      </x:c>
      <x:c r="D11" s="44" t="str">
        <x:v>最终参数表、安全检查单、急停演练记录</x:v>
      </x:c>
      <x:c r="E11" s="44" t="str">
        <x:v>最终彩排验收</x:v>
      </x:c>
      <x:c r="F11" s="45" t="str">
        <x:v>未开始</x:v>
      </x:c>
      <x:c r="G11" s="46"/>
      <x:c r="H11" s="44" t="str"/>
    </x:row>
  </x:sheetData>
  <x:mergeCells>
    <x:mergeCell ref="A1:H1"/>
    <x:mergeCell ref="A2:H2"/>
  </x:mergeCells>
  <x:conditionalFormatting sqref="F5:F11">
    <x:cfRule type="containsText" dxfId="15" priority="1" operator="containsText" text="未开始"/>
    <x:cfRule type="containsText" dxfId="16" priority="2" operator="containsText" text="进行中"/>
    <x:cfRule type="containsText" dxfId="17" priority="3" operator="containsText" text="待验收"/>
    <x:cfRule type="containsText" dxfId="18" priority="4" operator="containsText" text="已完成"/>
    <x:cfRule type="containsText" dxfId="19" priority="5" operator="containsText" text="受阻"/>
  </x:conditionalFormatting>
  <x:dataValidations count="1">
    <x:dataValidation type="list" sqref="F5:F11">
      <x:formula1>"未开始,进行中,待验收,已完成,受阻"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9" hidden="0" customWidth="1"/>
    <x:col min="3" max="3" width="34" hidden="0" customWidth="1"/>
    <x:col min="4" max="4" width="36" hidden="0" customWidth="1"/>
    <x:col min="5" max="5" width="25" hidden="0" customWidth="1"/>
    <x:col min="6" max="6" width="12" hidden="0" customWidth="1"/>
    <x:col min="7" max="7" width="14" hidden="0" customWidth="1"/>
    <x:col min="8" max="8" width="34" hidden="0" customWidth="1"/>
  </x:cols>
  <x:sheetData>
    <x:row r="1" ht="30" customHeight="1">
      <x:c r="A1" s="38" t="str">
        <x:v>研究生C-视觉感知｜阶段任务进度表</x:v>
      </x:c>
      <x:c r="B1" s="38"/>
      <x:c r="C1" s="38"/>
      <x:c r="D1" s="38"/>
      <x:c r="E1" s="38"/>
      <x:c r="F1" s="38"/>
      <x:c r="G1" s="38"/>
      <x:c r="H1" s="38"/>
    </x:row>
    <x:row r="2" ht="25" customHeight="1">
      <x:c r="A2" s="40" t="str">
        <x:v>主责：视觉感知与结果判定。每周一更新状态、实际完成日与证据/阻塞；完成前需由交接对象验收。</x:v>
      </x:c>
      <x:c r="B2" s="40"/>
      <x:c r="C2" s="40"/>
      <x:c r="D2" s="40"/>
      <x:c r="E2" s="40"/>
      <x:c r="F2" s="40"/>
      <x:c r="G2" s="40"/>
      <x:c r="H2" s="40"/>
    </x:row>
    <x:row r="4" ht="32" customHeight="1">
      <x:c r="A4" s="26" t="str">
        <x:v>阶段</x:v>
      </x:c>
      <x:c r="B4" s="26" t="str">
        <x:v>计划日期</x:v>
      </x:c>
      <x:c r="C4" s="26" t="str">
        <x:v>本阶段任务</x:v>
      </x:c>
      <x:c r="D4" s="26" t="str">
        <x:v>必须交付</x:v>
      </x:c>
      <x:c r="E4" s="26" t="str">
        <x:v>交接/验收对象</x:v>
      </x:c>
      <x:c r="F4" s="26" t="str">
        <x:v>状态</x:v>
      </x:c>
      <x:c r="G4" s="26" t="str">
        <x:v>实际完成日</x:v>
      </x:c>
      <x:c r="H4" s="26" t="str">
        <x:v>证据路径 / 阻塞原因</x:v>
      </x:c>
    </x:row>
    <x:row r="5" ht="66" customHeight="1">
      <x:c r="A5" s="45" t="str">
        <x:v>S0</x:v>
      </x:c>
      <x:c r="B5" s="45" t="str">
        <x:v>2026-07-14 至 2026-07-19</x:v>
      </x:c>
      <x:c r="C5" s="44" t="str">
        <x:v>验证 RGB-D/点云读取与颜色方块、目标区检测路径</x:v>
      </x:c>
      <x:c r="D5" s="44" t="str">
        <x:v>10 组 RGB-D 样本、检测字段、置信度和时间戳定义</x:v>
      </x:c>
      <x:c r="E5" s="44" t="str">
        <x:v>D 接收相机坐标；队长定义 ObjectPose</x:v>
      </x:c>
      <x:c r="F5" s="45" t="str">
        <x:v>未开始</x:v>
      </x:c>
      <x:c r="G5" s="46"/>
      <x:c r="H5" s="44" t="str"/>
    </x:row>
    <x:row r="6" ht="66" customHeight="1">
      <x:c r="A6" s="45" t="str">
        <x:v>S1</x:v>
      </x:c>
      <x:c r="B6" s="45" t="str">
        <x:v>2026-07-20 至 2026-07-26</x:v>
      </x:c>
      <x:c r="C6" s="44" t="str">
        <x:v>实现最小目标检测，输出相机坐标和感知异常</x:v>
      </x:c>
      <x:c r="D6" s="44" t="str">
        <x:v>检测 JSON 样本；低置信度、未检测到、深度无效示例</x:v>
      </x:c>
      <x:c r="E6" s="44" t="str">
        <x:v>队长注入 Mock 感知失败；D 转换坐标</x:v>
      </x:c>
      <x:c r="F6" s="45" t="str">
        <x:v>未开始</x:v>
      </x:c>
      <x:c r="G6" s="46"/>
      <x:c r="H6" s="44" t="str"/>
    </x:row>
    <x:row r="7" ht="66" customHeight="1">
      <x:c r="A7" s="45" t="str">
        <x:v>S2</x:v>
      </x:c>
      <x:c r="B7" s="45" t="str">
        <x:v>2026-07-27 至 2026-08-02</x:v>
      </x:c>
      <x:c r="C7" s="44" t="str">
        <x:v>采集多位置、方向、光照样本并分类失败模式</x:v>
      </x:c>
      <x:c r="D7" s="44" t="str">
        <x:v>场景样本、检测指标、失败分类</x:v>
      </x:c>
      <x:c r="E7" s="44" t="str">
        <x:v>E 冻结优化/验证/泛化集</x:v>
      </x:c>
      <x:c r="F7" s="45" t="str">
        <x:v>未开始</x:v>
      </x:c>
      <x:c r="G7" s="46"/>
      <x:c r="H7" s="44" t="str"/>
    </x:row>
    <x:row r="8" ht="66" customHeight="1">
      <x:c r="A8" s="45" t="str">
        <x:v>S3</x:v>
      </x:c>
      <x:c r="B8" s="45" t="str">
        <x:v>2026-08-03 至 2026-08-09</x:v>
      </x:c>
      <x:c r="C8" s="44" t="str">
        <x:v>实现场景目标位姿与抓取、提起、放置判定</x:v>
      </x:c>
      <x:c r="D8" s="44" t="str">
        <x:v>三阶段布尔结果、置信度、图像/数值证据</x:v>
      </x:c>
      <x:c r="E8" s="44" t="str">
        <x:v>队长写入 ExperimentResult；B 配合</x:v>
      </x:c>
      <x:c r="F8" s="45" t="str">
        <x:v>未开始</x:v>
      </x:c>
      <x:c r="G8" s="46"/>
      <x:c r="H8" s="44" t="str"/>
    </x:row>
    <x:row r="9" ht="66" customHeight="1">
      <x:c r="A9" s="45" t="str">
        <x:v>S4</x:v>
      </x:c>
      <x:c r="B9" s="45" t="str">
        <x:v>2026-08-10 至 2026-08-16</x:v>
      </x:c>
      <x:c r="C9" s="44" t="str">
        <x:v>输出每轮感知证据，标记漏检和感知异常</x:v>
      </x:c>
      <x:c r="D9" s="44" t="str">
        <x:v>P0/P1 感知置信度、阶段结果、失败样例</x:v>
      </x:c>
      <x:c r="E9" s="44" t="str">
        <x:v>队长失败归因；E 批量记录</x:v>
      </x:c>
      <x:c r="F9" s="45" t="str">
        <x:v>未开始</x:v>
      </x:c>
      <x:c r="G9" s="46"/>
      <x:c r="H9" s="44" t="str"/>
    </x:row>
    <x:row r="10" ht="66" customHeight="1">
      <x:c r="A10" s="45" t="str">
        <x:v>S5</x:v>
      </x:c>
      <x:c r="B10" s="45" t="str">
        <x:v>2026-08-17 至 2026-08-23</x:v>
      </x:c>
      <x:c r="C10" s="44" t="str">
        <x:v>完成新场景感知复测，明确现场推荐摆放范围</x:v>
      </x:c>
      <x:c r="D10" s="44" t="str">
        <x:v>泛化结果、失败样本、摆放约束</x:v>
      </x:c>
      <x:c r="E10" s="44" t="str">
        <x:v>队长说明泛化边界</x:v>
      </x:c>
      <x:c r="F10" s="45" t="str">
        <x:v>未开始</x:v>
      </x:c>
      <x:c r="G10" s="46"/>
      <x:c r="H10" s="44" t="str"/>
    </x:row>
    <x:row r="11" ht="66" customHeight="1">
      <x:c r="A11" s="45" t="str">
        <x:v>S6</x:v>
      </x:c>
      <x:c r="B11" s="45" t="str">
        <x:v>2026-08-24 至 2026-08-31</x:v>
      </x:c>
      <x:c r="C11" s="44" t="str">
        <x:v>冻结视觉配置和阈值，整理材料证据</x:v>
      </x:c>
      <x:c r="D11" s="44" t="str">
        <x:v>最终配置、关键成功/失败图像、判定说明</x:v>
      </x:c>
      <x:c r="E11" s="44" t="str">
        <x:v>报告/PPT 数据可追溯</x:v>
      </x:c>
      <x:c r="F11" s="45" t="str">
        <x:v>未开始</x:v>
      </x:c>
      <x:c r="G11" s="46"/>
      <x:c r="H11" s="44" t="str"/>
    </x:row>
  </x:sheetData>
  <x:mergeCells>
    <x:mergeCell ref="A1:H1"/>
    <x:mergeCell ref="A2:H2"/>
  </x:mergeCells>
  <x:conditionalFormatting sqref="F5:F11">
    <x:cfRule type="containsText" dxfId="20" priority="1" operator="containsText" text="未开始"/>
    <x:cfRule type="containsText" dxfId="21" priority="2" operator="containsText" text="进行中"/>
    <x:cfRule type="containsText" dxfId="22" priority="3" operator="containsText" text="待验收"/>
    <x:cfRule type="containsText" dxfId="23" priority="4" operator="containsText" text="已完成"/>
    <x:cfRule type="containsText" dxfId="24" priority="5" operator="containsText" text="受阻"/>
  </x:conditionalFormatting>
  <x:dataValidations count="1">
    <x:dataValidation type="list" sqref="F5:F11">
      <x:formula1>"未开始,进行中,待验收,已完成,受阻"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9" hidden="0" customWidth="1"/>
    <x:col min="3" max="3" width="34" hidden="0" customWidth="1"/>
    <x:col min="4" max="4" width="36" hidden="0" customWidth="1"/>
    <x:col min="5" max="5" width="25" hidden="0" customWidth="1"/>
    <x:col min="6" max="6" width="12" hidden="0" customWidth="1"/>
    <x:col min="7" max="7" width="14" hidden="0" customWidth="1"/>
    <x:col min="8" max="8" width="34" hidden="0" customWidth="1"/>
  </x:cols>
  <x:sheetData>
    <x:row r="1" ht="30" customHeight="1">
      <x:c r="A1" s="38" t="str">
        <x:v>研究生D-标定测量｜阶段任务进度表</x:v>
      </x:c>
      <x:c r="B1" s="38"/>
      <x:c r="C1" s="38"/>
      <x:c r="D1" s="38"/>
      <x:c r="E1" s="38"/>
      <x:c r="F1" s="38"/>
      <x:c r="G1" s="38"/>
      <x:c r="H1" s="38"/>
    </x:row>
    <x:row r="2" ht="25" customHeight="1">
      <x:c r="A2" s="40" t="str">
        <x:v>主责：手眼标定、坐标转换与测量。每周一更新状态、实际完成日与证据/阻塞；完成前需由交接对象验收。</x:v>
      </x:c>
      <x:c r="B2" s="40"/>
      <x:c r="C2" s="40"/>
      <x:c r="D2" s="40"/>
      <x:c r="E2" s="40"/>
      <x:c r="F2" s="40"/>
      <x:c r="G2" s="40"/>
      <x:c r="H2" s="40"/>
    </x:row>
    <x:row r="4" ht="32" customHeight="1">
      <x:c r="A4" s="26" t="str">
        <x:v>阶段</x:v>
      </x:c>
      <x:c r="B4" s="26" t="str">
        <x:v>计划日期</x:v>
      </x:c>
      <x:c r="C4" s="26" t="str">
        <x:v>本阶段任务</x:v>
      </x:c>
      <x:c r="D4" s="26" t="str">
        <x:v>必须交付</x:v>
      </x:c>
      <x:c r="E4" s="26" t="str">
        <x:v>交接/验收对象</x:v>
      </x:c>
      <x:c r="F4" s="26" t="str">
        <x:v>状态</x:v>
      </x:c>
      <x:c r="G4" s="26" t="str">
        <x:v>实际完成日</x:v>
      </x:c>
      <x:c r="H4" s="26" t="str">
        <x:v>证据路径 / 阻塞原因</x:v>
      </x:c>
    </x:row>
    <x:row r="5" ht="66" customHeight="1">
      <x:c r="A5" s="45" t="str">
        <x:v>S0</x:v>
      </x:c>
      <x:c r="B5" s="45" t="str">
        <x:v>2026-07-14 至 2026-07-19</x:v>
      </x:c>
      <x:c r="C5" s="44" t="str">
        <x:v>梳理坐标系、手眼标定和误差测量方法</x:v>
      </x:c>
      <x:c r="D5" s="44" t="str">
        <x:v>坐标系图、单位/姿态约定、标定流程、误差公式</x:v>
      </x:c>
      <x:c r="E5" s="44" t="str">
        <x:v>C 确认输入；B 确认基座约定</x:v>
      </x:c>
      <x:c r="F5" s="45" t="str">
        <x:v>未开始</x:v>
      </x:c>
      <x:c r="G5" s="46"/>
      <x:c r="H5" s="44" t="str"/>
    </x:row>
    <x:row r="6" ht="66" customHeight="1">
      <x:c r="A6" s="45" t="str">
        <x:v>S1</x:v>
      </x:c>
      <x:c r="B6" s="45" t="str">
        <x:v>2026-07-20 至 2026-07-26</x:v>
      </x:c>
      <x:c r="C6" s="44" t="str">
        <x:v>建立首版相机到基座转换，采样定位误差</x:v>
      </x:c>
      <x:c r="D6" s="44" t="str">
        <x:v>标定 v0、转换调用方式、至少 10 次测量及误差</x:v>
      </x:c>
      <x:c r="E6" s="44" t="str">
        <x:v>队长接入转换；B 使用基座位姿</x:v>
      </x:c>
      <x:c r="F6" s="45" t="str">
        <x:v>未开始</x:v>
      </x:c>
      <x:c r="G6" s="46"/>
      <x:c r="H6" s="44" t="str"/>
    </x:row>
    <x:row r="7" ht="66" customHeight="1">
      <x:c r="A7" s="45" t="str">
        <x:v>S2</x:v>
      </x:c>
      <x:c r="B7" s="45" t="str">
        <x:v>2026-07-27 至 2026-08-02</x:v>
      </x:c>
      <x:c r="C7" s="44" t="str">
        <x:v>分析误差分布与离群点，提出残差补偿建议</x:v>
      </x:c>
      <x:c r="D7" s="44" t="str">
        <x:v>均值/P95、离群说明、可优化范围</x:v>
      </x:c>
      <x:c r="E7" s="44" t="str">
        <x:v>队长选择优化变量和指标</x:v>
      </x:c>
      <x:c r="F7" s="45" t="str">
        <x:v>未开始</x:v>
      </x:c>
      <x:c r="G7" s="46"/>
      <x:c r="H7" s="44" t="str"/>
    </x:row>
    <x:row r="8" ht="66" customHeight="1">
      <x:c r="A8" s="45" t="str">
        <x:v>S3</x:v>
      </x:c>
      <x:c r="B8" s="45" t="str">
        <x:v>2026-08-03 至 2026-08-09</x:v>
      </x:c>
      <x:c r="C8" s="44" t="str">
        <x:v>完成手眼标定 v1，测量执行相关误差并设置拒绝阈值</x:v>
      </x:c>
      <x:c r="D8" s="44" t="str">
        <x:v>标定 v1、基座位姿、误差报告、置信度阈值</x:v>
      </x:c>
      <x:c r="E8" s="44" t="str">
        <x:v>队长安全拦截；B 真实运动</x:v>
      </x:c>
      <x:c r="F8" s="45" t="str">
        <x:v>未开始</x:v>
      </x:c>
      <x:c r="G8" s="46"/>
      <x:c r="H8" s="44" t="str"/>
    </x:row>
    <x:row r="9" ht="66" customHeight="1">
      <x:c r="A9" s="45" t="str">
        <x:v>S4</x:v>
      </x:c>
      <x:c r="B9" s="45" t="str">
        <x:v>2026-08-10 至 2026-08-16</x:v>
      </x:c>
      <x:c r="C9" s="44" t="str">
        <x:v>监控标定漂移，输出 P0/P1 可比较定位指标</x:v>
      </x:c>
      <x:c r="D9" s="44" t="str">
        <x:v>P0/P1 误差、P95、漂移记录、标定版本比对</x:v>
      </x:c>
      <x:c r="E9" s="44" t="str">
        <x:v>队长作晋升决策</x:v>
      </x:c>
      <x:c r="F9" s="45" t="str">
        <x:v>未开始</x:v>
      </x:c>
      <x:c r="G9" s="46"/>
      <x:c r="H9" s="44" t="str"/>
    </x:row>
    <x:row r="10" ht="66" customHeight="1">
      <x:c r="A10" s="45" t="str">
        <x:v>S5</x:v>
      </x:c>
      <x:c r="B10" s="45" t="str">
        <x:v>2026-08-17 至 2026-08-23</x:v>
      </x:c>
      <x:c r="C10" s="44" t="str">
        <x:v>复检现场标定漂移，给出开场校验与重标定条件</x:v>
      </x:c>
      <x:c r="D10" s="44" t="str">
        <x:v>校验表、漂移记录、重标定触发条件</x:v>
      </x:c>
      <x:c r="E10" s="44" t="str">
        <x:v>E 演练；队长现场流程</x:v>
      </x:c>
      <x:c r="F10" s="45" t="str">
        <x:v>未开始</x:v>
      </x:c>
      <x:c r="G10" s="46"/>
      <x:c r="H10" s="44" t="str"/>
    </x:row>
    <x:row r="11" ht="66" customHeight="1">
      <x:c r="A11" s="45" t="str">
        <x:v>S6</x:v>
      </x:c>
      <x:c r="B11" s="45" t="str">
        <x:v>2026-08-24 至 2026-08-31</x:v>
      </x:c>
      <x:c r="C11" s="44" t="str">
        <x:v>冻结标定包与最终精度统计</x:v>
      </x:c>
      <x:c r="D11" s="44" t="str">
        <x:v>标定版本、误差表、现场校验卡</x:v>
      </x:c>
      <x:c r="E11" s="44" t="str">
        <x:v>报告数据可复算</x:v>
      </x:c>
      <x:c r="F11" s="45" t="str">
        <x:v>未开始</x:v>
      </x:c>
      <x:c r="G11" s="46"/>
      <x:c r="H11" s="44" t="str"/>
    </x:row>
  </x:sheetData>
  <x:mergeCells>
    <x:mergeCell ref="A1:H1"/>
    <x:mergeCell ref="A2:H2"/>
  </x:mergeCells>
  <x:conditionalFormatting sqref="F5:F11">
    <x:cfRule type="containsText" dxfId="25" priority="1" operator="containsText" text="未开始"/>
    <x:cfRule type="containsText" dxfId="26" priority="2" operator="containsText" text="进行中"/>
    <x:cfRule type="containsText" dxfId="27" priority="3" operator="containsText" text="待验收"/>
    <x:cfRule type="containsText" dxfId="28" priority="4" operator="containsText" text="已完成"/>
    <x:cfRule type="containsText" dxfId="29" priority="5" operator="containsText" text="受阻"/>
  </x:conditionalFormatting>
  <x:dataValidations count="1">
    <x:dataValidation type="list" sqref="F5:F11">
      <x:formula1>"未开始,进行中,待验收,已完成,受阻"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9" hidden="0" customWidth="1"/>
    <x:col min="3" max="3" width="34" hidden="0" customWidth="1"/>
    <x:col min="4" max="4" width="36" hidden="0" customWidth="1"/>
    <x:col min="5" max="5" width="25" hidden="0" customWidth="1"/>
    <x:col min="6" max="6" width="12" hidden="0" customWidth="1"/>
    <x:col min="7" max="7" width="14" hidden="0" customWidth="1"/>
    <x:col min="8" max="8" width="34" hidden="0" customWidth="1"/>
  </x:cols>
  <x:sheetData>
    <x:row r="1" ht="30" customHeight="1">
      <x:c r="A1" s="38" t="str">
        <x:v>研究生E-实验可靠性｜阶段任务进度表</x:v>
      </x:c>
      <x:c r="B1" s="38"/>
      <x:c r="C1" s="38"/>
      <x:c r="D1" s="38"/>
      <x:c r="E1" s="38"/>
      <x:c r="F1" s="38"/>
      <x:c r="G1" s="38"/>
      <x:c r="H1" s="38"/>
    </x:row>
    <x:row r="2" ht="25" customHeight="1">
      <x:c r="A2" s="40" t="str">
        <x:v>主责：实机实验、数据采集与可靠性。每周一更新状态、实际完成日与证据/阻塞；完成前需由交接对象验收。</x:v>
      </x:c>
      <x:c r="B2" s="40"/>
      <x:c r="C2" s="40"/>
      <x:c r="D2" s="40"/>
      <x:c r="E2" s="40"/>
      <x:c r="F2" s="40"/>
      <x:c r="G2" s="40"/>
      <x:c r="H2" s="40"/>
    </x:row>
    <x:row r="4" ht="32" customHeight="1">
      <x:c r="A4" s="26" t="str">
        <x:v>阶段</x:v>
      </x:c>
      <x:c r="B4" s="26" t="str">
        <x:v>计划日期</x:v>
      </x:c>
      <x:c r="C4" s="26" t="str">
        <x:v>本阶段任务</x:v>
      </x:c>
      <x:c r="D4" s="26" t="str">
        <x:v>必须交付</x:v>
      </x:c>
      <x:c r="E4" s="26" t="str">
        <x:v>交接/验收对象</x:v>
      </x:c>
      <x:c r="F4" s="26" t="str">
        <x:v>状态</x:v>
      </x:c>
      <x:c r="G4" s="26" t="str">
        <x:v>实际完成日</x:v>
      </x:c>
      <x:c r="H4" s="26" t="str">
        <x:v>证据路径 / 阻塞原因</x:v>
      </x:c>
    </x:row>
    <x:row r="5" ht="66" customHeight="1">
      <x:c r="A5" s="45" t="str">
        <x:v>S0</x:v>
      </x:c>
      <x:c r="B5" s="45" t="str">
        <x:v>2026-07-14 至 2026-07-19</x:v>
      </x:c>
      <x:c r="C5" s="44" t="str">
        <x:v>确认档期和实验台，建立实验 ID、场景和归档规则</x:v>
      </x:c>
      <x:c r="D5" s="44" t="str">
        <x:v>设备预约表、场景布置图、实验记录模板、数据目录</x:v>
      </x:c>
      <x:c r="E5" s="44" t="str">
        <x:v>队长建立配置和数据根目录</x:v>
      </x:c>
      <x:c r="F5" s="45" t="str">
        <x:v>未开始</x:v>
      </x:c>
      <x:c r="G5" s="46"/>
      <x:c r="H5" s="44" t="str"/>
    </x:row>
    <x:row r="6" ht="66" customHeight="1">
      <x:c r="A6" s="45" t="str">
        <x:v>S1</x:v>
      </x:c>
      <x:c r="B6" s="45" t="str">
        <x:v>2026-07-20 至 2026-07-26</x:v>
      </x:c>
      <x:c r="C6" s="44" t="str">
        <x:v>执行基础动作和视觉采集，试运行数据归档</x:v>
      </x:c>
      <x:c r="D6" s="44" t="str">
        <x:v>20 条动作记录、10 组视觉记录、场景配置 v0</x:v>
      </x:c>
      <x:c r="E6" s="44" t="str">
        <x:v>队长验证日志兼容性</x:v>
      </x:c>
      <x:c r="F6" s="45" t="str">
        <x:v>未开始</x:v>
      </x:c>
      <x:c r="G6" s="46"/>
      <x:c r="H6" s="44" t="str"/>
    </x:row>
    <x:row r="7" ht="66" customHeight="1">
      <x:c r="A7" s="45" t="str">
        <x:v>S2</x:v>
      </x:c>
      <x:c r="B7" s="45" t="str">
        <x:v>2026-07-27 至 2026-08-02</x:v>
      </x:c>
      <x:c r="C7" s="44" t="str">
        <x:v>冻结优化、固定验证、泛化场景和批量流程</x:v>
      </x:c>
      <x:c r="D7" s="44" t="str">
        <x:v>三套场景配置、实验清单、数据索引模板</x:v>
      </x:c>
      <x:c r="E7" s="44" t="str">
        <x:v>全体复核数据分割；队长批量执行</x:v>
      </x:c>
      <x:c r="F7" s="45" t="str">
        <x:v>未开始</x:v>
      </x:c>
      <x:c r="G7" s="46"/>
      <x:c r="H7" s="44" t="str"/>
    </x:row>
    <x:row r="8" ht="66" customHeight="1">
      <x:c r="A8" s="45" t="str">
        <x:v>S3</x:v>
      </x:c>
      <x:c r="B8" s="45" t="str">
        <x:v>2026-08-03 至 2026-08-09</x:v>
      </x:c>
      <x:c r="C8" s="44" t="str">
        <x:v>组织实机单轮联调并复核数据落盘</x:v>
      </x:c>
      <x:c r="D8" s="44" t="str">
        <x:v>一条完整真实实验包、问题清单、补测计划</x:v>
      </x:c>
      <x:c r="E8" s="44" t="str">
        <x:v>队长生成完整报告</x:v>
      </x:c>
      <x:c r="F8" s="45" t="str">
        <x:v>未开始</x:v>
      </x:c>
      <x:c r="G8" s="46"/>
      <x:c r="H8" s="44" t="str"/>
    </x:row>
    <x:row r="9" ht="66" customHeight="1">
      <x:c r="A9" s="45" t="str">
        <x:v>S4</x:v>
      </x:c>
      <x:c r="B9" s="45" t="str">
        <x:v>2026-08-10 至 2026-08-16</x:v>
      </x:c>
      <x:c r="C9" s="44" t="str">
        <x:v>批量执行 P0/P1，保持环境一致且保留所有失败</x:v>
      </x:c>
      <x:c r="D9" s="44" t="str">
        <x:v>各集 P0/P1 至少 10 次原始数据、汇总统计</x:v>
      </x:c>
      <x:c r="E9" s="44" t="str">
        <x:v>队长评估；A-D 复核字段</x:v>
      </x:c>
      <x:c r="F9" s="45" t="str">
        <x:v>未开始</x:v>
      </x:c>
      <x:c r="G9" s="46"/>
      <x:c r="H9" s="44" t="str"/>
    </x:row>
    <x:row r="10" ht="66" customHeight="1">
      <x:c r="A10" s="45" t="str">
        <x:v>S5</x:v>
      </x:c>
      <x:c r="B10" s="45" t="str">
        <x:v>2026-08-17 至 2026-08-23</x:v>
      </x:c>
      <x:c r="C10" s="44" t="str">
        <x:v>完成泛化测试、回滚案例和三层演示演练</x:v>
      </x:c>
      <x:c r="D10" s="44" t="str">
        <x:v>泛化数据包、回滚记录、演练记录、问题清单</x:v>
      </x:c>
      <x:c r="E10" s="44" t="str">
        <x:v>队长完成演示与报告</x:v>
      </x:c>
      <x:c r="F10" s="45" t="str">
        <x:v>未开始</x:v>
      </x:c>
      <x:c r="G10" s="46"/>
      <x:c r="H10" s="44" t="str"/>
    </x:row>
    <x:row r="11" ht="66" customHeight="1">
      <x:c r="A11" s="45" t="str">
        <x:v>S6</x:v>
      </x:c>
      <x:c r="B11" s="45" t="str">
        <x:v>2026-08-24 至 2026-08-31</x:v>
      </x:c>
      <x:c r="C11" s="44" t="str">
        <x:v>归档全部数据与场景，执行最终彩排</x:v>
      </x:c>
      <x:c r="D11" s="44" t="str">
        <x:v>数据索引、场景包、最终彩排记录、设备清单</x:v>
      </x:c>
      <x:c r="E11" s="44" t="str">
        <x:v>队长冻结版本并提交材料</x:v>
      </x:c>
      <x:c r="F11" s="45" t="str">
        <x:v>未开始</x:v>
      </x:c>
      <x:c r="G11" s="46"/>
      <x:c r="H11" s="44" t="str"/>
    </x:row>
  </x:sheetData>
  <x:mergeCells>
    <x:mergeCell ref="A1:H1"/>
    <x:mergeCell ref="A2:H2"/>
  </x:mergeCells>
  <x:conditionalFormatting sqref="F5:F11">
    <x:cfRule type="containsText" dxfId="30" priority="1" operator="containsText" text="未开始"/>
    <x:cfRule type="containsText" dxfId="31" priority="2" operator="containsText" text="进行中"/>
    <x:cfRule type="containsText" dxfId="32" priority="3" operator="containsText" text="待验收"/>
    <x:cfRule type="containsText" dxfId="33" priority="4" operator="containsText" text="已完成"/>
    <x:cfRule type="containsText" dxfId="34" priority="5" operator="containsText" text="受阻"/>
  </x:conditionalFormatting>
  <x:dataValidations count="1">
    <x:dataValidation type="list" sqref="F5:F11">
      <x:formula1>"未开始,进行中,待验收,已完成,受阻"</x:formula1>
    </x:dataValidation>
  </x:dataValidations>
  <x:pageMargins left="0.7" right="0.7" top="0.75" bottom="0.75" header="0.3" footer="0.3"/>
</x:worksheet>
</file>